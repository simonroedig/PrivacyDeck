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<sst xmlns="http://schemas.openxmlformats.org/spreadsheetml/2006/main" count="58" uniqueCount="57">
  <si>
    <t>Quantity</t>
  </si>
  <si>
    <t>Component</t>
  </si>
  <si>
    <t>Link (Reichelt || Conrad || Eckstein)</t>
  </si>
  <si>
    <t>Price Single (€)</t>
  </si>
  <si>
    <t>Price TOTAL (€)</t>
  </si>
  <si>
    <t>(Notes)</t>
  </si>
  <si>
    <t>LED Jewel 7 x 5050 RGB LEDs WS2812</t>
  </si>
  <si>
    <t>https://eckstein-shop.de/LEDJewel7x5050RGBLEDsWS2812mitintegriertenTreibern</t>
  </si>
  <si>
    <t>LED</t>
  </si>
  <si>
    <t>Kodierter Drehschalter</t>
  </si>
  <si>
    <t>https://www.reichelt.de/de/de/shop/produkt/entwicklerboards_-_kodierter_drehschalter-239260</t>
  </si>
  <si>
    <t>Rotary Knob</t>
  </si>
  <si>
    <t>Kontermutter für Potentiometerknöpfe, schwarz</t>
  </si>
  <si>
    <t>https://www.reichelt.de/de/de/shop/produkt/kontermutter_fuer_potentiometerknoepfe_schwarz-13757</t>
  </si>
  <si>
    <t>for Rotary Knob</t>
  </si>
  <si>
    <t>Developer boards - Sliding potentiometer, 10k Ohm</t>
  </si>
  <si>
    <t>https://www.reichelt.com/de/en/shop/product/developer_boards_-_sliding_potentiometer_10k_ohm-375945#closemodal</t>
  </si>
  <si>
    <t>Fader/Slider -&gt; search for alternative</t>
  </si>
  <si>
    <t>Seeed Studio Grove Slide Potentiometer with 10KΩ Resistance</t>
  </si>
  <si>
    <t>https://eckstein-shop.de/Seeed-Studio-Grove-Slide-Potentiometer-with-10KO-Resistance</t>
  </si>
  <si>
    <t>need both now</t>
  </si>
  <si>
    <t>Schalterkappe</t>
  </si>
  <si>
    <t>https://www.reichelt.de/de/de/shop/produkt/schalterkappe_16_8_mm_6_mm-227904</t>
  </si>
  <si>
    <t>Toggle Switch</t>
  </si>
  <si>
    <t>https://eckstein-shop.de/PololuToggleSwitch3A3-Pin2CSPDT2C5AEN</t>
  </si>
  <si>
    <t>Toggle</t>
  </si>
  <si>
    <t>WaveShare 160x80, General 0.96inch LCD display Module, IPS, HD</t>
  </si>
  <si>
    <t>https://eckstein-shop.de/WaveShare-160x80-General-096inch-LCD-display-Module-IPS-HD</t>
  </si>
  <si>
    <t>1,08 cm × 2,17 cm</t>
  </si>
  <si>
    <t>WaveShare 2inch LCD Display Module 240x320 IPS Screen SPI Interface</t>
  </si>
  <si>
    <t>https://eckstein-shop.de/WaveShare-240320-General-2inch-IPS-LCD-Display-Module</t>
  </si>
  <si>
    <t>30,60 mm × 40,80 mm</t>
  </si>
  <si>
    <t>Rugged Metal Pushbutton with Red LED Ring - 16mm Red Momentary</t>
  </si>
  <si>
    <t>https://eckstein-shop.de/RuggedMetalPushbuttonwithRedLEDRing-16mmRedMomentaryEN</t>
  </si>
  <si>
    <t>rot (clipboard)</t>
  </si>
  <si>
    <t>Rugged Metal Pushbutton with Red LED Ring - 16mm Blue Momentary</t>
  </si>
  <si>
    <t>https://eckstein-shop.de/QITARuggedMetalPushbuttonwithBlueLEDRing-16mmBlueMomentaryEN</t>
  </si>
  <si>
    <t>blau (location)</t>
  </si>
  <si>
    <t>Rugged Metal Pushbutton with Red LED Ring - 16mm Yellow Momentary</t>
  </si>
  <si>
    <t>https://eckstein-shop.de/RuggedMetalPushbuttonwithYellowLEDRing-16mmYellowMomentaryEN</t>
  </si>
  <si>
    <t>gelb (browser cookies)</t>
  </si>
  <si>
    <t>Rugged Metal Pushbutton with White LED Ring - 16mm White Momentary</t>
  </si>
  <si>
    <t>https://eckstein-shop.de/QITARuggedMetalPushbuttonwithWhiteLEDRing-16mmWhiteMomentaryEN</t>
  </si>
  <si>
    <t>weiß (lock os)</t>
  </si>
  <si>
    <t>Raspberry Pi Pico 2 WH, RP235x, Cortex-M33, WiFi, microUSB</t>
  </si>
  <si>
    <t>https://www.reichelt.com/de/en/shop/product/raspberry_pi_pico_2_wh_rp235x_cortex-m33_wifi_microusb-398576#closemodal</t>
  </si>
  <si>
    <t>better microcontroller for our needs</t>
  </si>
  <si>
    <t>Joy-it COM-MSD Erweiterungsmodul</t>
  </si>
  <si>
    <t>https://www.conrad.de/de/p/joy-it-com-msd-erweiterungsmodul-1-st-2582441.html</t>
  </si>
  <si>
    <t>sd</t>
  </si>
  <si>
    <t>Lichtleiter</t>
  </si>
  <si>
    <t>https://www.reichelt.de/de/de/shop/produkt/lichtleiter_smd_1-fach_o_2_2_mm_sphaerisch_flexibel-232128</t>
  </si>
  <si>
    <t>for led in avatar</t>
  </si>
  <si>
    <t>Drucktaster zum Einbau 12 mm 2 x Schraubklemme rot</t>
  </si>
  <si>
    <t>https://www.reichelt.de/de/de/shop/produkt/drucktaster_zum_einbau_12_mm_2_x_schraubklemme_rot-411461</t>
  </si>
  <si>
    <t>Instant Privacy</t>
  </si>
  <si>
    <t>Sum: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</si>
</sst>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u/>
      <color rgb="FF000000"/>
      <name val="Arial"/>
    </font>
    <font>
      <u/>
      <color rgb="FF000000"/>
      <name val="Arial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readingOrder="0"/>
    </xf>
    <xf borderId="1" fillId="3" fontId="3" numFmtId="0" xfId="0" applyAlignment="1" applyBorder="1" applyFont="1">
      <alignment readingOrder="0"/>
    </xf>
    <xf borderId="1" fillId="3" fontId="4" numFmtId="0" xfId="0" applyAlignment="1" applyBorder="1" applyFont="1">
      <alignment readingOrder="0"/>
    </xf>
    <xf borderId="0" fillId="4" fontId="2" numFmtId="0" xfId="0" applyAlignment="1" applyFill="1" applyFont="1">
      <alignment readingOrder="0"/>
    </xf>
    <xf borderId="1" fillId="3" fontId="2" numFmtId="0" xfId="0" applyBorder="1" applyFont="1"/>
    <xf borderId="1" fillId="0" fontId="5" numFmtId="0" xfId="0" applyAlignment="1" applyBorder="1" applyFont="1">
      <alignment horizontal="right" readingOrder="0"/>
    </xf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eckstein-shop.de/QITARuggedMetalPushbuttonwithBlueLEDRing-16mmBlueMomentaryEN" TargetMode="External"/><Relationship Id="rId10" Type="http://schemas.openxmlformats.org/officeDocument/2006/relationships/hyperlink" Target="https://eckstein-shop.de/RuggedMetalPushbuttonwithRedLEDRing-16mmRedMomentaryEN" TargetMode="External"/><Relationship Id="rId13" Type="http://schemas.openxmlformats.org/officeDocument/2006/relationships/hyperlink" Target="https://eckstein-shop.de/QITARuggedMetalPushbuttonwithWhiteLEDRing-16mmWhiteMomentaryEN" TargetMode="External"/><Relationship Id="rId12" Type="http://schemas.openxmlformats.org/officeDocument/2006/relationships/hyperlink" Target="https://eckstein-shop.de/RuggedMetalPushbuttonwithYellowLEDRing-16mmYellowMomentaryEN" TargetMode="External"/><Relationship Id="rId1" Type="http://schemas.openxmlformats.org/officeDocument/2006/relationships/hyperlink" Target="https://eckstein-shop.de/LEDJewel7x5050RGBLEDsWS2812mitintegriertenTreibern" TargetMode="External"/><Relationship Id="rId2" Type="http://schemas.openxmlformats.org/officeDocument/2006/relationships/hyperlink" Target="https://www.reichelt.de/de/de/shop/produkt/entwicklerboards_-_kodierter_drehschalter-239260" TargetMode="External"/><Relationship Id="rId3" Type="http://schemas.openxmlformats.org/officeDocument/2006/relationships/hyperlink" Target="https://www.reichelt.de/de/de/shop/produkt/kontermutter_fuer_potentiometerknoepfe_schwarz-13757" TargetMode="External"/><Relationship Id="rId4" Type="http://schemas.openxmlformats.org/officeDocument/2006/relationships/hyperlink" Target="https://www.reichelt.com/de/en/shop/product/developer_boards_-_sliding_potentiometer_10k_ohm-375945" TargetMode="External"/><Relationship Id="rId9" Type="http://schemas.openxmlformats.org/officeDocument/2006/relationships/hyperlink" Target="https://eckstein-shop.de/WaveShare-240320-General-2inch-IPS-LCD-Display-Module" TargetMode="External"/><Relationship Id="rId15" Type="http://schemas.openxmlformats.org/officeDocument/2006/relationships/hyperlink" Target="https://www.conrad.de/de/p/joy-it-com-msd-erweiterungsmodul-1-st-2582441.html" TargetMode="External"/><Relationship Id="rId14" Type="http://schemas.openxmlformats.org/officeDocument/2006/relationships/hyperlink" Target="https://www.reichelt.com/de/en/shop/product/raspberry_pi_pico_2_wh_rp235x_cortex-m33_wifi_microusb-398576" TargetMode="External"/><Relationship Id="rId17" Type="http://schemas.openxmlformats.org/officeDocument/2006/relationships/hyperlink" Target="https://www.reichelt.de/de/de/shop/produkt/drucktaster_zum_einbau_12_mm_2_x_schraubklemme_rot-411461" TargetMode="External"/><Relationship Id="rId16" Type="http://schemas.openxmlformats.org/officeDocument/2006/relationships/hyperlink" Target="https://www.reichelt.de/de/de/shop/produkt/lichtleiter_smd_1-fach_o_2_2_mm_sphaerisch_flexibel-232128" TargetMode="External"/><Relationship Id="rId5" Type="http://schemas.openxmlformats.org/officeDocument/2006/relationships/hyperlink" Target="https://eckstein-shop.de/Seeed-Studio-Grove-Slide-Potentiometer-with-10KO-Resistance" TargetMode="External"/><Relationship Id="rId6" Type="http://schemas.openxmlformats.org/officeDocument/2006/relationships/hyperlink" Target="https://www.reichelt.de/de/de/shop/produkt/schalterkappe_16_8_mm_6_mm-227904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eckstein-shop.de/PololuToggleSwitch3A3-Pin2CSPDT2C5AEN" TargetMode="External"/><Relationship Id="rId8" Type="http://schemas.openxmlformats.org/officeDocument/2006/relationships/hyperlink" Target="https://eckstein-shop.de/WaveShare-160x80-General-096inch-LCD-display-Module-IPS-H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57.5"/>
    <col customWidth="1" min="3" max="3" width="62.5"/>
    <col customWidth="1" min="4" max="4" width="15.13"/>
    <col customWidth="1" min="5" max="5" width="16.5"/>
    <col customWidth="1" min="6" max="6" width="3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2.0</v>
      </c>
      <c r="B2" s="2" t="s">
        <v>6</v>
      </c>
      <c r="C2" s="3" t="s">
        <v>7</v>
      </c>
      <c r="D2" s="2">
        <v>1.91</v>
      </c>
      <c r="E2" s="2">
        <f t="shared" ref="E2:E18" si="1">A2*D2</f>
        <v>3.82</v>
      </c>
      <c r="F2" s="2" t="s">
        <v>8</v>
      </c>
    </row>
    <row r="3">
      <c r="A3" s="2">
        <v>2.0</v>
      </c>
      <c r="B3" s="2" t="s">
        <v>9</v>
      </c>
      <c r="C3" s="3" t="s">
        <v>10</v>
      </c>
      <c r="D3" s="2">
        <v>2.5</v>
      </c>
      <c r="E3" s="2">
        <f t="shared" si="1"/>
        <v>5</v>
      </c>
      <c r="F3" s="2" t="s">
        <v>11</v>
      </c>
    </row>
    <row r="4">
      <c r="A4" s="2">
        <v>2.0</v>
      </c>
      <c r="B4" s="2" t="s">
        <v>12</v>
      </c>
      <c r="C4" s="3" t="s">
        <v>13</v>
      </c>
      <c r="D4" s="2">
        <v>0.22</v>
      </c>
      <c r="E4" s="2">
        <f t="shared" si="1"/>
        <v>0.44</v>
      </c>
      <c r="F4" s="2" t="s">
        <v>14</v>
      </c>
    </row>
    <row r="5">
      <c r="A5" s="2">
        <v>1.0</v>
      </c>
      <c r="B5" s="2" t="s">
        <v>15</v>
      </c>
      <c r="C5" s="3" t="s">
        <v>16</v>
      </c>
      <c r="D5" s="2">
        <v>2.6</v>
      </c>
      <c r="E5" s="2">
        <f t="shared" si="1"/>
        <v>2.6</v>
      </c>
      <c r="F5" s="2" t="s">
        <v>17</v>
      </c>
    </row>
    <row r="6">
      <c r="A6" s="2">
        <v>1.0</v>
      </c>
      <c r="B6" s="2" t="s">
        <v>18</v>
      </c>
      <c r="C6" s="3" t="s">
        <v>19</v>
      </c>
      <c r="D6" s="2">
        <v>7.14</v>
      </c>
      <c r="E6" s="2">
        <f t="shared" si="1"/>
        <v>7.14</v>
      </c>
      <c r="F6" s="2" t="s">
        <v>20</v>
      </c>
    </row>
    <row r="7">
      <c r="A7" s="2">
        <v>2.0</v>
      </c>
      <c r="B7" s="2" t="s">
        <v>21</v>
      </c>
      <c r="C7" s="3" t="s">
        <v>22</v>
      </c>
      <c r="D7" s="2">
        <v>0.8</v>
      </c>
      <c r="E7" s="2">
        <f t="shared" si="1"/>
        <v>1.6</v>
      </c>
      <c r="F7" s="2" t="s">
        <v>14</v>
      </c>
    </row>
    <row r="8">
      <c r="A8" s="2">
        <v>4.0</v>
      </c>
      <c r="B8" s="2" t="s">
        <v>23</v>
      </c>
      <c r="C8" s="3" t="s">
        <v>24</v>
      </c>
      <c r="D8" s="2">
        <v>1.64</v>
      </c>
      <c r="E8" s="2">
        <f t="shared" si="1"/>
        <v>6.56</v>
      </c>
      <c r="F8" s="2" t="s">
        <v>25</v>
      </c>
    </row>
    <row r="9">
      <c r="A9" s="2">
        <v>1.0</v>
      </c>
      <c r="B9" s="2" t="s">
        <v>26</v>
      </c>
      <c r="C9" s="3" t="s">
        <v>27</v>
      </c>
      <c r="D9" s="2">
        <v>6.99</v>
      </c>
      <c r="E9" s="2">
        <f t="shared" si="1"/>
        <v>6.99</v>
      </c>
      <c r="F9" s="2" t="s">
        <v>28</v>
      </c>
    </row>
    <row r="10">
      <c r="A10" s="2">
        <v>1.0</v>
      </c>
      <c r="B10" s="2" t="s">
        <v>29</v>
      </c>
      <c r="C10" s="3" t="s">
        <v>30</v>
      </c>
      <c r="D10" s="2">
        <v>11.99</v>
      </c>
      <c r="E10" s="2">
        <f t="shared" si="1"/>
        <v>11.99</v>
      </c>
      <c r="F10" s="2" t="s">
        <v>31</v>
      </c>
    </row>
    <row r="11">
      <c r="A11" s="2">
        <v>1.0</v>
      </c>
      <c r="B11" s="2" t="s">
        <v>32</v>
      </c>
      <c r="C11" s="3" t="s">
        <v>33</v>
      </c>
      <c r="D11" s="2">
        <v>2.93</v>
      </c>
      <c r="E11" s="2">
        <f t="shared" si="1"/>
        <v>2.93</v>
      </c>
      <c r="F11" s="2" t="s">
        <v>34</v>
      </c>
    </row>
    <row r="12">
      <c r="A12" s="2">
        <v>1.0</v>
      </c>
      <c r="B12" s="2" t="s">
        <v>35</v>
      </c>
      <c r="C12" s="3" t="s">
        <v>36</v>
      </c>
      <c r="D12" s="2">
        <v>2.93</v>
      </c>
      <c r="E12" s="2">
        <f t="shared" si="1"/>
        <v>2.93</v>
      </c>
      <c r="F12" s="2" t="s">
        <v>37</v>
      </c>
    </row>
    <row r="13">
      <c r="A13" s="2">
        <v>1.0</v>
      </c>
      <c r="B13" s="2" t="s">
        <v>38</v>
      </c>
      <c r="C13" s="3" t="s">
        <v>39</v>
      </c>
      <c r="D13" s="2">
        <v>2.82</v>
      </c>
      <c r="E13" s="2">
        <f t="shared" si="1"/>
        <v>2.82</v>
      </c>
      <c r="F13" s="2" t="s">
        <v>40</v>
      </c>
    </row>
    <row r="14">
      <c r="A14" s="2">
        <v>1.0</v>
      </c>
      <c r="B14" s="4" t="s">
        <v>41</v>
      </c>
      <c r="C14" s="3" t="s">
        <v>42</v>
      </c>
      <c r="D14" s="2">
        <v>2.93</v>
      </c>
      <c r="E14" s="2">
        <f t="shared" si="1"/>
        <v>2.93</v>
      </c>
      <c r="F14" s="2" t="s">
        <v>43</v>
      </c>
    </row>
    <row r="15">
      <c r="A15" s="2">
        <v>1.0</v>
      </c>
      <c r="B15" s="2" t="s">
        <v>44</v>
      </c>
      <c r="C15" s="3" t="s">
        <v>45</v>
      </c>
      <c r="D15" s="2">
        <v>8.5</v>
      </c>
      <c r="E15" s="2">
        <f t="shared" si="1"/>
        <v>8.5</v>
      </c>
      <c r="F15" s="2" t="s">
        <v>46</v>
      </c>
    </row>
    <row r="16">
      <c r="A16" s="2">
        <v>1.0</v>
      </c>
      <c r="B16" s="2" t="s">
        <v>47</v>
      </c>
      <c r="C16" s="3" t="s">
        <v>48</v>
      </c>
      <c r="D16" s="2">
        <v>2.9</v>
      </c>
      <c r="E16" s="2">
        <f t="shared" si="1"/>
        <v>2.9</v>
      </c>
      <c r="F16" s="2" t="s">
        <v>49</v>
      </c>
    </row>
    <row r="17">
      <c r="A17" s="2">
        <v>10.0</v>
      </c>
      <c r="B17" s="2" t="s">
        <v>50</v>
      </c>
      <c r="C17" s="4" t="s">
        <v>51</v>
      </c>
      <c r="D17" s="2">
        <v>0.99</v>
      </c>
      <c r="E17" s="2">
        <f t="shared" si="1"/>
        <v>9.9</v>
      </c>
      <c r="F17" s="2" t="s">
        <v>52</v>
      </c>
    </row>
    <row r="18">
      <c r="A18" s="2">
        <v>1.0</v>
      </c>
      <c r="B18" s="5" t="s">
        <v>53</v>
      </c>
      <c r="C18" s="3" t="s">
        <v>54</v>
      </c>
      <c r="D18" s="2">
        <v>3.9</v>
      </c>
      <c r="E18" s="2">
        <f t="shared" si="1"/>
        <v>3.9</v>
      </c>
      <c r="F18" s="2" t="s">
        <v>55</v>
      </c>
    </row>
    <row r="19">
      <c r="A19" s="6"/>
      <c r="B19" s="6"/>
      <c r="C19" s="6"/>
      <c r="D19" s="6"/>
      <c r="E19" s="2"/>
      <c r="F19" s="6"/>
    </row>
    <row r="20">
      <c r="A20" s="2"/>
      <c r="B20" s="2"/>
      <c r="C20" s="6"/>
      <c r="D20" s="6"/>
      <c r="E20" s="2"/>
      <c r="F20" s="2"/>
    </row>
    <row r="21">
      <c r="A21" s="6"/>
      <c r="B21" s="6"/>
      <c r="C21" s="6"/>
      <c r="D21" s="6"/>
      <c r="E21" s="2"/>
      <c r="F21" s="6"/>
    </row>
    <row r="22">
      <c r="A22" s="2"/>
      <c r="B22" s="2"/>
      <c r="C22" s="2"/>
      <c r="D22" s="2"/>
      <c r="E22" s="2"/>
      <c r="F22" s="2"/>
    </row>
    <row r="23">
      <c r="A23" s="6"/>
      <c r="B23" s="6"/>
      <c r="C23" s="6"/>
      <c r="D23" s="6"/>
      <c r="E23" s="2"/>
      <c r="F23" s="6"/>
    </row>
    <row r="24">
      <c r="A24" s="6"/>
      <c r="B24" s="6"/>
      <c r="C24" s="6"/>
      <c r="D24" s="6"/>
      <c r="E24" s="2"/>
      <c r="F24" s="6"/>
    </row>
    <row r="25">
      <c r="A25" s="6"/>
      <c r="B25" s="6"/>
      <c r="C25" s="6"/>
      <c r="D25" s="6"/>
      <c r="E25" s="2"/>
      <c r="F25" s="6"/>
    </row>
    <row r="26">
      <c r="A26" s="6"/>
      <c r="B26" s="6"/>
      <c r="C26" s="6"/>
      <c r="D26" s="6"/>
      <c r="E26" s="2"/>
      <c r="F26" s="6"/>
    </row>
    <row r="27">
      <c r="A27" s="6"/>
      <c r="B27" s="6"/>
      <c r="C27" s="6"/>
      <c r="D27" s="6"/>
      <c r="E27" s="6"/>
      <c r="F27" s="2"/>
    </row>
    <row r="28">
      <c r="D28" s="7" t="s">
        <v>56</v>
      </c>
      <c r="E28" s="8">
        <f>SUM(E2:E26)</f>
        <v>82.95</v>
      </c>
    </row>
  </sheetData>
  <hyperlinks>
    <hyperlink r:id="rId1" ref="C2"/>
    <hyperlink r:id="rId2" ref="C3"/>
    <hyperlink r:id="rId3" ref="C4"/>
    <hyperlink r:id="rId4" location="closemodal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location="closemodal" ref="C15"/>
    <hyperlink r:id="rId15" ref="C16"/>
    <hyperlink r:id="rId16" ref="C17"/>
    <hyperlink r:id="rId17" ref="C18"/>
  </hyperlinks>
  <drawing r:id="rId18"/>
</worksheet>
</file>